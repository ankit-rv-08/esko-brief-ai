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raed/Downloads/"/>
    </mc:Choice>
  </mc:AlternateContent>
  <xr:revisionPtr revIDLastSave="0" documentId="13_ncr:1_{12FBB569-B0F2-2149-8D86-E6C68C8B3405}" xr6:coauthVersionLast="47" xr6:coauthVersionMax="47" xr10:uidLastSave="{00000000-0000-0000-0000-000000000000}"/>
  <bookViews>
    <workbookView xWindow="0" yWindow="280" windowWidth="30240" windowHeight="19360" tabRatio="500" xr2:uid="{00000000-000D-0000-FFFF-FFFF00000000}"/>
  </bookViews>
  <sheets>
    <sheet name="Content Sheet - U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1" l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E47" i="1"/>
  <c r="D48" i="1"/>
  <c r="D47" i="1"/>
</calcChain>
</file>

<file path=xl/sharedStrings.xml><?xml version="1.0" encoding="utf-8"?>
<sst xmlns="http://schemas.openxmlformats.org/spreadsheetml/2006/main" count="143" uniqueCount="127">
  <si>
    <t>Label Information</t>
  </si>
  <si>
    <t>Label Identifier</t>
  </si>
  <si>
    <t>DF-GRAN-BERRY-US-001</t>
  </si>
  <si>
    <t>Constructed to follow the existing DF-GRAN-BERRY-FR-001 naming pattern — confirm with label management.</t>
  </si>
  <si>
    <t>Portions Selected</t>
  </si>
  <si>
    <t>480g</t>
  </si>
  <si>
    <t>Status</t>
  </si>
  <si>
    <t>Draft / In Review</t>
  </si>
  <si>
    <t>Artwork PDF is a dieline proof (contains print-guide marks e.g. "Art orientation", "Copy free", "Front panel Orientation") rather than final released art.</t>
  </si>
  <si>
    <t>Product Overview</t>
  </si>
  <si>
    <t>Last Edited Date</t>
  </si>
  <si>
    <t>N/A</t>
  </si>
  <si>
    <t>Not printed on the artwork/dieline itself.</t>
  </si>
  <si>
    <t>Region/Cluster</t>
  </si>
  <si>
    <t>North America</t>
  </si>
  <si>
    <t>Country of Market</t>
  </si>
  <si>
    <t>United States</t>
  </si>
  <si>
    <t>Product Name</t>
  </si>
  <si>
    <t>Granola Berry Crunch</t>
  </si>
  <si>
    <t>Registration Info / Number</t>
  </si>
  <si>
    <t>BPN</t>
  </si>
  <si>
    <t>DF-BERRY-480G-US</t>
  </si>
  <si>
    <t>Assumed from FR BPN pattern (DF-BERRY-480G) with a US suffix — confirm actual BPN.</t>
  </si>
  <si>
    <t>Last Published Date</t>
  </si>
  <si>
    <t>UPC / Barcode</t>
  </si>
  <si>
    <t>1 20000 00003 6</t>
  </si>
  <si>
    <t>Brand</t>
  </si>
  <si>
    <t>Dancing Fish</t>
  </si>
  <si>
    <t>End Use</t>
  </si>
  <si>
    <t>Retail</t>
  </si>
  <si>
    <t>Product Type</t>
  </si>
  <si>
    <t>Granola - High-Grain</t>
  </si>
  <si>
    <t>Nutritive Sweetener</t>
  </si>
  <si>
    <t>Honey, Coconut Sugar</t>
  </si>
  <si>
    <t>Derived from the ingredient list (honey 9%, coconut sugar) — confirm if a different field value is expected here.</t>
  </si>
  <si>
    <t>Operating Unit</t>
  </si>
  <si>
    <t>Process Type</t>
  </si>
  <si>
    <t>Oven Baked</t>
  </si>
  <si>
    <t>Notes</t>
  </si>
  <si>
    <t>Organic certified (USDA Organic), Certified Vegan (vegan.org), GMO free, No Added Sugar, Oven Baked</t>
  </si>
  <si>
    <t>Legal Name &amp; Ingredient Information</t>
  </si>
  <si>
    <t>Field</t>
  </si>
  <si>
    <t>English (US)</t>
  </si>
  <si>
    <t>Language(s)</t>
  </si>
  <si>
    <t>English</t>
  </si>
  <si>
    <t>Legal Name / Statement of Identity</t>
  </si>
  <si>
    <t>GRANOLA — BERRY CRUNCH</t>
  </si>
  <si>
    <t>Allergen Information</t>
  </si>
  <si>
    <t>ALLERGEN INFORMATION:
May Contain Almonds, May Contain Brazil Nuts, May Contain Pecan Nuts, May Contain Walnuts or Cereals Containing Gluten, May Contain Nuts, Oats.</t>
  </si>
  <si>
    <t>Transcribed as printed. Note almonds/pecans appear in the ingredient list itself but are phrased as "May Contain" in the allergen box — verify this is intentional advisory language vs. a labeling error.</t>
  </si>
  <si>
    <t>Storage Instructions</t>
  </si>
  <si>
    <t>Store in a cool, dry place. Once opened, keep packaging closed and eat within a month or by date shown, for best before, see base of pack.</t>
  </si>
  <si>
    <t>Ingredient List</t>
  </si>
  <si>
    <t>INGREDIENTS: Organic Wholegrain Oat Flakes (79%), Almonds, Pecans, Sunflower Seeds, Vegetable Oils (in varying proportions), Dried Blueberries, Cranberries, Sunflower Seeds, Honey (9%), Coconut Sugar, Crystallized Ginger (cane sugar), Himalayan Pink Salt. Natural Flavoring.</t>
  </si>
  <si>
    <t>Back-panel ingredient copy overlaps dieline guide lines in the source file, so line breaks/order are reconstructed — please verify word-for-word against the native art file before release.</t>
  </si>
  <si>
    <t>Marketing Copy</t>
  </si>
  <si>
    <t>Start tapping, swishing &amp; shaking your tail fins!</t>
  </si>
  <si>
    <t>Dietary Information</t>
  </si>
  <si>
    <t>Suitable for vegetarians. All products certified organic, GMO free, and suitable for vegetarians (vegan), with no artificial additives.</t>
  </si>
  <si>
    <t>Front panel also carries a separate "Certified Vegan" (vegan.org) mark.</t>
  </si>
  <si>
    <t>Front/Back Panel Claims &amp; Certifications</t>
  </si>
  <si>
    <t>USDA Organic; Certified Vegan (vegan.org); No Added Sugar; Oven Baked; GMO Free; How2Recycle / recyclable paperboard mark</t>
  </si>
  <si>
    <t>Added for completeness — not a field in the FR reference sheet.</t>
  </si>
  <si>
    <t>Nutrition Information</t>
  </si>
  <si>
    <t>Nutrition Panel Format</t>
  </si>
  <si>
    <t>US FDA Standard (Vertical)</t>
  </si>
  <si>
    <t>Number of Servings per Package</t>
  </si>
  <si>
    <t>8</t>
  </si>
  <si>
    <t>Package Size / Net Weight</t>
  </si>
  <si>
    <t>Serving Size</t>
  </si>
  <si>
    <t>Not clearly legible in extracted artwork text</t>
  </si>
  <si>
    <t>The panel states "8 servings per container" and a serving-size line, but the gram/volume amount did not extract cleanly from the dieline — confirm directly from the art file.</t>
  </si>
  <si>
    <t>Package Type</t>
  </si>
  <si>
    <t>Carton</t>
  </si>
  <si>
    <t>Quantitative Declaration of Juice Volume</t>
  </si>
  <si>
    <t>Nutrition Panel Name</t>
  </si>
  <si>
    <t>Nutrition Facts</t>
  </si>
  <si>
    <t>Nutrition Panel Bottom Statement</t>
  </si>
  <si>
    <t>The % Daily Value (DV) tells you how much a nutrient in a serving of food contributes to a daily diet. 2,000 calories a day is used for general nutrition advice.</t>
  </si>
  <si>
    <t>Other Text</t>
  </si>
  <si>
    <t>Recyclable paperboard mark; "Packaging powered by Esko" logo</t>
  </si>
  <si>
    <t>Percent Alcohol by Volume (%ABV)</t>
  </si>
  <si>
    <t>Nutrition Values (per serving, as printed)</t>
  </si>
  <si>
    <t>Nutrient Composition</t>
  </si>
  <si>
    <t>250g</t>
  </si>
  <si>
    <t>1000g</t>
  </si>
  <si>
    <t>Calories</t>
  </si>
  <si>
    <t>166</t>
  </si>
  <si>
    <t>—</t>
  </si>
  <si>
    <t>Total Fat</t>
  </si>
  <si>
    <t>15g</t>
  </si>
  <si>
    <t>2.2%*</t>
  </si>
  <si>
    <t>Saturated Fat</t>
  </si>
  <si>
    <t>5g</t>
  </si>
  <si>
    <t>8%</t>
  </si>
  <si>
    <t>Trans Fat</t>
  </si>
  <si>
    <t>8g</t>
  </si>
  <si>
    <t>Cholesterol</t>
  </si>
  <si>
    <t>45mg</t>
  </si>
  <si>
    <t>26%*</t>
  </si>
  <si>
    <t>Sodium</t>
  </si>
  <si>
    <t>25mg</t>
  </si>
  <si>
    <t>12%*</t>
  </si>
  <si>
    <t>Total Carbohydrate</t>
  </si>
  <si>
    <t>18%</t>
  </si>
  <si>
    <t>Dietary Fiber</t>
  </si>
  <si>
    <t>3g</t>
  </si>
  <si>
    <t>5%</t>
  </si>
  <si>
    <t>Total Sugars</t>
  </si>
  <si>
    <t>18g</t>
  </si>
  <si>
    <t>Incl. Added Sugars</t>
  </si>
  <si>
    <t>0g</t>
  </si>
  <si>
    <t>0%</t>
  </si>
  <si>
    <t>Protein</t>
  </si>
  <si>
    <t>34g</t>
  </si>
  <si>
    <t>Vitamin D</t>
  </si>
  <si>
    <t>89mcg</t>
  </si>
  <si>
    <t>12%</t>
  </si>
  <si>
    <t>Calcium</t>
  </si>
  <si>
    <t>206mg</t>
  </si>
  <si>
    <t>48%</t>
  </si>
  <si>
    <t>Iron</t>
  </si>
  <si>
    <t>5mg</t>
  </si>
  <si>
    <t>20%</t>
  </si>
  <si>
    <t>Potassium</t>
  </si>
  <si>
    <t>23mg</t>
  </si>
  <si>
    <t>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</si>
</sst>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D3D3D3"/>
        <bgColor rgb="FF000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/>
    <xf numFmtId="0" fontId="3" fillId="0" borderId="1" xfId="0" applyFont="1" applyBorder="1"/>
    <xf numFmtId="0" fontId="6" fillId="0" borderId="0" xfId="0" applyFont="1"/>
    <xf numFmtId="0" fontId="6" fillId="0" borderId="0" xfId="0" applyFont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BCACDC-8EA6-0041-ABFA-F7BD91C8ADB8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0c8599cd-66d0-4d1b-bcde-8561108b6c4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Normal="100" workbookViewId="0">
      <pane ySplit="1" topLeftCell="A2" activePane="bottomLeft" state="frozen"/>
      <selection pane="bottomLeft" activeCell="A16" sqref="A16"/>
    </sheetView>
  </sheetViews>
  <sheetFormatPr defaultColWidth="8.7109375" defaultRowHeight="15"/>
  <cols>
    <col min="1" max="1" width="34" customWidth="1"/>
    <col min="2" max="2" width="62" customWidth="1"/>
    <col min="3" max="3" width="42" customWidth="1"/>
    <col min="4" max="6" width="19.7109375" customWidth="1"/>
  </cols>
  <sheetData>
    <row r="1" spans="1:6" ht="19.5" customHeight="1">
      <c r="A1" s="16" t="s">
        <v>0</v>
      </c>
      <c r="B1" s="16"/>
      <c r="C1" s="16"/>
    </row>
    <row r="2" spans="1:6" ht="15" customHeight="1">
      <c r="A2" s="1" t="s">
        <v>1</v>
      </c>
      <c r="B2" s="2" t="s">
        <v>2</v>
      </c>
      <c r="C2" s="3" t="s">
        <v>3</v>
      </c>
    </row>
    <row r="3" spans="1:6" ht="15" customHeight="1">
      <c r="A3" s="1" t="s">
        <v>4</v>
      </c>
      <c r="B3" s="4" t="s">
        <v>5</v>
      </c>
      <c r="D3" s="1" t="s">
        <v>6</v>
      </c>
      <c r="E3" s="2" t="s">
        <v>7</v>
      </c>
      <c r="F3" s="3" t="s">
        <v>8</v>
      </c>
    </row>
    <row r="4" spans="1:6" ht="15" customHeight="1"/>
    <row r="6" spans="1:6" ht="19.5" customHeight="1">
      <c r="A6" s="16" t="s">
        <v>9</v>
      </c>
      <c r="B6" s="16"/>
      <c r="C6" s="16"/>
    </row>
    <row r="7" spans="1:6" ht="15" customHeight="1">
      <c r="A7" s="1" t="s">
        <v>10</v>
      </c>
      <c r="B7" s="2" t="s">
        <v>11</v>
      </c>
      <c r="C7" s="3" t="s">
        <v>12</v>
      </c>
      <c r="D7" s="1" t="s">
        <v>13</v>
      </c>
      <c r="E7" s="4" t="s">
        <v>14</v>
      </c>
    </row>
    <row r="8" spans="1:6" ht="15" customHeight="1">
      <c r="A8" s="1" t="s">
        <v>15</v>
      </c>
      <c r="B8" s="4" t="s">
        <v>16</v>
      </c>
      <c r="D8" s="1" t="s">
        <v>17</v>
      </c>
      <c r="E8" s="4" t="s">
        <v>18</v>
      </c>
    </row>
    <row r="9" spans="1:6" ht="15" customHeight="1">
      <c r="D9" s="1" t="s">
        <v>19</v>
      </c>
      <c r="E9" s="4" t="s">
        <v>11</v>
      </c>
    </row>
    <row r="10" spans="1:6" ht="15" customHeight="1"/>
    <row r="11" spans="1:6" ht="15" customHeight="1">
      <c r="D11" s="1" t="s">
        <v>20</v>
      </c>
      <c r="E11" s="2" t="s">
        <v>21</v>
      </c>
      <c r="F11" s="3" t="s">
        <v>22</v>
      </c>
    </row>
    <row r="12" spans="1:6" ht="15" customHeight="1">
      <c r="A12" s="1" t="s">
        <v>23</v>
      </c>
      <c r="B12" s="2" t="s">
        <v>11</v>
      </c>
      <c r="C12" s="3" t="s">
        <v>12</v>
      </c>
      <c r="D12" s="1" t="s">
        <v>24</v>
      </c>
      <c r="E12" s="4" t="s">
        <v>25</v>
      </c>
    </row>
    <row r="13" spans="1:6" ht="15" customHeight="1">
      <c r="A13" s="1" t="s">
        <v>26</v>
      </c>
      <c r="B13" s="4" t="s">
        <v>27</v>
      </c>
      <c r="D13" s="1" t="s">
        <v>28</v>
      </c>
      <c r="E13" s="4" t="s">
        <v>29</v>
      </c>
    </row>
    <row r="14" spans="1:6" ht="15" customHeight="1">
      <c r="D14" s="1" t="s">
        <v>30</v>
      </c>
      <c r="E14" s="4" t="s">
        <v>31</v>
      </c>
    </row>
    <row r="15" spans="1:6" ht="15" customHeight="1">
      <c r="D15" s="1" t="s">
        <v>32</v>
      </c>
      <c r="E15" s="2" t="s">
        <v>33</v>
      </c>
      <c r="F15" s="3" t="s">
        <v>34</v>
      </c>
    </row>
    <row r="16" spans="1:6" ht="15" customHeight="1">
      <c r="D16" s="1" t="s">
        <v>35</v>
      </c>
      <c r="E16" s="4" t="s">
        <v>14</v>
      </c>
    </row>
    <row r="17" spans="1:5" ht="15" customHeight="1">
      <c r="D17" s="1" t="s">
        <v>36</v>
      </c>
      <c r="E17" s="4" t="s">
        <v>37</v>
      </c>
    </row>
    <row r="18" spans="1:5" ht="15" customHeight="1">
      <c r="D18" s="1" t="s">
        <v>38</v>
      </c>
      <c r="E18" s="4" t="s">
        <v>39</v>
      </c>
    </row>
    <row r="20" spans="1:5" ht="19.5" customHeight="1">
      <c r="A20" s="16" t="s">
        <v>40</v>
      </c>
      <c r="B20" s="16"/>
      <c r="C20" s="16"/>
    </row>
    <row r="21" spans="1:5">
      <c r="A21" s="5" t="s">
        <v>41</v>
      </c>
      <c r="B21" s="5" t="s">
        <v>42</v>
      </c>
      <c r="C21" s="5" t="s">
        <v>38</v>
      </c>
    </row>
    <row r="22" spans="1:5" ht="15" customHeight="1">
      <c r="A22" s="1" t="s">
        <v>43</v>
      </c>
      <c r="B22" s="4" t="s">
        <v>44</v>
      </c>
    </row>
    <row r="23" spans="1:5" ht="15" customHeight="1">
      <c r="A23" s="1" t="s">
        <v>45</v>
      </c>
      <c r="B23" s="4" t="s">
        <v>46</v>
      </c>
    </row>
    <row r="24" spans="1:5" ht="15" customHeight="1">
      <c r="A24" s="1" t="s">
        <v>47</v>
      </c>
      <c r="B24" s="2" t="s">
        <v>48</v>
      </c>
      <c r="C24" s="3" t="s">
        <v>49</v>
      </c>
    </row>
    <row r="25" spans="1:5" ht="15" customHeight="1">
      <c r="A25" s="1" t="s">
        <v>50</v>
      </c>
      <c r="B25" s="4" t="s">
        <v>51</v>
      </c>
    </row>
    <row r="26" spans="1:5" ht="15" customHeight="1">
      <c r="A26" s="1" t="s">
        <v>52</v>
      </c>
      <c r="B26" s="2" t="s">
        <v>53</v>
      </c>
      <c r="C26" s="3" t="s">
        <v>54</v>
      </c>
    </row>
    <row r="27" spans="1:5" ht="15" customHeight="1">
      <c r="A27" s="1" t="s">
        <v>55</v>
      </c>
      <c r="B27" s="4" t="s">
        <v>56</v>
      </c>
    </row>
    <row r="28" spans="1:5" ht="15" customHeight="1">
      <c r="A28" s="1" t="s">
        <v>57</v>
      </c>
      <c r="B28" s="4" t="s">
        <v>58</v>
      </c>
      <c r="C28" s="3" t="s">
        <v>59</v>
      </c>
    </row>
    <row r="29" spans="1:5" ht="15" customHeight="1">
      <c r="A29" s="1" t="s">
        <v>60</v>
      </c>
      <c r="B29" s="4" t="s">
        <v>61</v>
      </c>
      <c r="C29" s="3" t="s">
        <v>62</v>
      </c>
    </row>
    <row r="31" spans="1:5" ht="19.5" customHeight="1">
      <c r="A31" s="16" t="s">
        <v>63</v>
      </c>
      <c r="B31" s="16"/>
      <c r="C31" s="16"/>
    </row>
    <row r="32" spans="1:5">
      <c r="A32" s="5" t="s">
        <v>41</v>
      </c>
      <c r="B32" s="5" t="s">
        <v>42</v>
      </c>
      <c r="C32" s="5" t="s">
        <v>38</v>
      </c>
    </row>
    <row r="33" spans="1:7" ht="15" customHeight="1">
      <c r="A33" s="1" t="s">
        <v>64</v>
      </c>
      <c r="B33" s="4" t="s">
        <v>65</v>
      </c>
    </row>
    <row r="34" spans="1:7" ht="15" customHeight="1">
      <c r="A34" s="1" t="s">
        <v>66</v>
      </c>
      <c r="B34" s="4" t="s">
        <v>67</v>
      </c>
    </row>
    <row r="35" spans="1:7" ht="15" customHeight="1">
      <c r="A35" s="1" t="s">
        <v>68</v>
      </c>
      <c r="B35" s="4" t="s">
        <v>5</v>
      </c>
    </row>
    <row r="36" spans="1:7" ht="15" customHeight="1">
      <c r="A36" s="1" t="s">
        <v>69</v>
      </c>
      <c r="B36" s="2" t="s">
        <v>70</v>
      </c>
      <c r="C36" s="3" t="s">
        <v>71</v>
      </c>
    </row>
    <row r="37" spans="1:7" ht="15" customHeight="1">
      <c r="A37" s="1" t="s">
        <v>72</v>
      </c>
      <c r="B37" s="4" t="s">
        <v>73</v>
      </c>
    </row>
    <row r="38" spans="1:7" ht="15" customHeight="1">
      <c r="A38" s="1" t="s">
        <v>74</v>
      </c>
      <c r="B38" s="4" t="s">
        <v>11</v>
      </c>
    </row>
    <row r="39" spans="1:7" ht="15" customHeight="1">
      <c r="A39" s="1" t="s">
        <v>75</v>
      </c>
      <c r="B39" s="4" t="s">
        <v>76</v>
      </c>
    </row>
    <row r="40" spans="1:7" ht="15" customHeight="1">
      <c r="A40" s="1" t="s">
        <v>77</v>
      </c>
      <c r="B40" s="4" t="s">
        <v>78</v>
      </c>
    </row>
    <row r="41" spans="1:7" ht="15" customHeight="1">
      <c r="A41" s="1" t="s">
        <v>79</v>
      </c>
      <c r="B41" s="4" t="s">
        <v>80</v>
      </c>
    </row>
    <row r="42" spans="1:7" ht="15" customHeight="1">
      <c r="A42" s="1" t="s">
        <v>81</v>
      </c>
      <c r="B42" s="4" t="s">
        <v>11</v>
      </c>
    </row>
    <row r="45" spans="1:7" ht="23.1" customHeight="1">
      <c r="A45" s="16" t="s">
        <v>82</v>
      </c>
      <c r="B45" s="16"/>
      <c r="C45" s="16"/>
      <c r="D45" s="8"/>
      <c r="E45" s="8"/>
      <c r="F45" s="7"/>
      <c r="G45" s="7"/>
    </row>
    <row r="46" spans="1:7" ht="15.95">
      <c r="A46" s="9" t="s">
        <v>83</v>
      </c>
      <c r="B46" s="11" t="s">
        <v>84</v>
      </c>
      <c r="C46" s="12"/>
      <c r="D46" s="13" t="s">
        <v>5</v>
      </c>
      <c r="E46" s="14"/>
      <c r="F46" s="13" t="s">
        <v>85</v>
      </c>
      <c r="G46" s="15"/>
    </row>
    <row r="47" spans="1:7">
      <c r="A47" s="1" t="s">
        <v>86</v>
      </c>
      <c r="B47" s="4" t="s">
        <v>87</v>
      </c>
      <c r="C47" s="6" t="s">
        <v>88</v>
      </c>
      <c r="D47" s="4">
        <f>ROUND($B47*SUBSTITUTE(D$46,"g","")/SUBSTITUTE($B$46,"g",""),0)</f>
        <v>319</v>
      </c>
      <c r="E47" s="6" t="str">
        <f>_xlfn.LET(_xlpm.s,$C47,IF(_xlpm.s="—","—",_xlfn.LET(_xlpm.p,--SUBSTITUTE(_xlpm.s,"*",""),_xlpm.k,SUBSTITUTE(D$46,"g","")/SUBSTITUTE($B$46,"g",""),ROUND(_xlpm.p*_xlpm.k*100,1)&amp;"%"&amp;IF(RIGHT(_xlpm.s,1)="*","*",""))))</f>
        <v>—</v>
      </c>
      <c r="F47" s="4">
        <f>ROUND($B47*SUBSTITUTE(F$46,"g","")/SUBSTITUTE($B$46,"g",""),0)</f>
        <v>664</v>
      </c>
      <c r="G47" s="6" t="str">
        <f>_xlfn.LET(_xlpm.s,$C47,IF(_xlpm.s="—","—",_xlfn.LET(_xlpm.p,--SUBSTITUTE(_xlpm.s,"*",""),_xlpm.k,SUBSTITUTE(F$46,"g","")/SUBSTITUTE($B$46,"g",""),ROUND(_xlpm.p*_xlpm.k*100,1)&amp;"%"&amp;IF(RIGHT(_xlpm.s,1)="*","*",""))))</f>
        <v>—</v>
      </c>
    </row>
    <row r="48" spans="1:7">
      <c r="A48" s="1" t="s">
        <v>89</v>
      </c>
      <c r="B48" s="4" t="s">
        <v>90</v>
      </c>
      <c r="C48" s="6" t="s">
        <v>91</v>
      </c>
      <c r="D48" s="10" t="str">
        <f>_xlfn.LET(_xlpm.s,$B48,_xlpm.n,--SUBSTITUTE(SUBSTITUTE(SUBSTITUTE(_xlpm.s,"mcg",""),"mg",""),"g",""),_xlpm.k,SUBSTITUTE(D$46,"g","")/SUBSTITUTE($B$46,"g",""),ROUND(_xlpm.n*_xlpm.k,1)&amp;SUBSTITUTE(_xlpm.s,_xlpm.n,""))</f>
        <v>28.8g</v>
      </c>
      <c r="E48" s="6" t="str">
        <f t="shared" ref="E48:G61" si="0">_xlfn.LET(_xlpm.s,$C48,IF(_xlpm.s="—","—",_xlfn.LET(_xlpm.p,--SUBSTITUTE(_xlpm.s,"*",""),_xlpm.k,SUBSTITUTE(D$46,"g","")/SUBSTITUTE($B$46,"g",""),ROUND(_xlpm.p*_xlpm.k*100,1)&amp;"%"&amp;IF(RIGHT(_xlpm.s,1)="*","*",""))))</f>
        <v>4.2%*</v>
      </c>
      <c r="F48" s="4" t="str">
        <f>_xlfn.LET(_xlpm.s,$B48,_xlpm.n,--SUBSTITUTE(SUBSTITUTE(SUBSTITUTE(_xlpm.s,"mcg",""),"mg",""),"g",""),_xlpm.k,SUBSTITUTE(F$46,"g","")/SUBSTITUTE($B$46,"g",""),ROUND(_xlpm.n*_xlpm.k,1)&amp;SUBSTITUTE(_xlpm.s,_xlpm.n,""))</f>
        <v>60g</v>
      </c>
      <c r="G48" s="6" t="str">
        <f t="shared" si="0"/>
        <v>8.8%*</v>
      </c>
    </row>
    <row r="49" spans="1:7">
      <c r="A49" s="1" t="s">
        <v>92</v>
      </c>
      <c r="B49" s="4" t="s">
        <v>93</v>
      </c>
      <c r="C49" s="6" t="s">
        <v>94</v>
      </c>
      <c r="D49" s="4" t="str">
        <f t="shared" ref="D49:F61" si="1">_xlfn.LET(_xlpm.s,$B49,_xlpm.n,--SUBSTITUTE(SUBSTITUTE(SUBSTITUTE(_xlpm.s,"mcg",""),"mg",""),"g",""),_xlpm.k,SUBSTITUTE(D$46,"g","")/SUBSTITUTE($B$46,"g",""),ROUND(_xlpm.n*_xlpm.k,1)&amp;SUBSTITUTE(_xlpm.s,_xlpm.n,""))</f>
        <v>9.6g</v>
      </c>
      <c r="E49" s="6" t="str">
        <f t="shared" si="0"/>
        <v>15.4%</v>
      </c>
      <c r="F49" s="4" t="str">
        <f t="shared" si="1"/>
        <v>20g</v>
      </c>
      <c r="G49" s="6" t="str">
        <f t="shared" si="0"/>
        <v>32%</v>
      </c>
    </row>
    <row r="50" spans="1:7">
      <c r="A50" s="1" t="s">
        <v>95</v>
      </c>
      <c r="B50" s="4" t="s">
        <v>96</v>
      </c>
      <c r="C50" s="6" t="s">
        <v>88</v>
      </c>
      <c r="D50" s="4" t="str">
        <f t="shared" si="1"/>
        <v>15.4g</v>
      </c>
      <c r="E50" s="6" t="str">
        <f t="shared" si="0"/>
        <v>—</v>
      </c>
      <c r="F50" s="4" t="str">
        <f t="shared" si="1"/>
        <v>32g</v>
      </c>
      <c r="G50" s="6" t="str">
        <f t="shared" si="0"/>
        <v>—</v>
      </c>
    </row>
    <row r="51" spans="1:7">
      <c r="A51" s="1" t="s">
        <v>97</v>
      </c>
      <c r="B51" s="4" t="s">
        <v>98</v>
      </c>
      <c r="C51" s="6" t="s">
        <v>99</v>
      </c>
      <c r="D51" s="4" t="str">
        <f t="shared" si="1"/>
        <v>86.4mg</v>
      </c>
      <c r="E51" s="6" t="str">
        <f t="shared" si="0"/>
        <v>49.9%*</v>
      </c>
      <c r="F51" s="4" t="str">
        <f t="shared" si="1"/>
        <v>180mg</v>
      </c>
      <c r="G51" s="6" t="str">
        <f t="shared" si="0"/>
        <v>104%*</v>
      </c>
    </row>
    <row r="52" spans="1:7">
      <c r="A52" s="1" t="s">
        <v>100</v>
      </c>
      <c r="B52" s="4" t="s">
        <v>101</v>
      </c>
      <c r="C52" s="6" t="s">
        <v>102</v>
      </c>
      <c r="D52" s="4" t="str">
        <f t="shared" si="1"/>
        <v>48mg</v>
      </c>
      <c r="E52" s="6" t="str">
        <f t="shared" si="0"/>
        <v>23%*</v>
      </c>
      <c r="F52" s="4" t="str">
        <f t="shared" si="1"/>
        <v>100mg</v>
      </c>
      <c r="G52" s="6" t="str">
        <f t="shared" si="0"/>
        <v>48%*</v>
      </c>
    </row>
    <row r="53" spans="1:7">
      <c r="A53" s="1" t="s">
        <v>103</v>
      </c>
      <c r="B53" s="4" t="s">
        <v>90</v>
      </c>
      <c r="C53" s="6" t="s">
        <v>104</v>
      </c>
      <c r="D53" s="4" t="str">
        <f t="shared" si="1"/>
        <v>28.8g</v>
      </c>
      <c r="E53" s="6" t="str">
        <f t="shared" si="0"/>
        <v>34.6%</v>
      </c>
      <c r="F53" s="4" t="str">
        <f t="shared" si="1"/>
        <v>60g</v>
      </c>
      <c r="G53" s="6" t="str">
        <f t="shared" si="0"/>
        <v>72%</v>
      </c>
    </row>
    <row r="54" spans="1:7">
      <c r="A54" s="1" t="s">
        <v>105</v>
      </c>
      <c r="B54" s="4" t="s">
        <v>106</v>
      </c>
      <c r="C54" s="6" t="s">
        <v>107</v>
      </c>
      <c r="D54" s="4" t="str">
        <f t="shared" si="1"/>
        <v>5.8g</v>
      </c>
      <c r="E54" s="6" t="str">
        <f t="shared" si="0"/>
        <v>9.6%</v>
      </c>
      <c r="F54" s="4" t="str">
        <f t="shared" si="1"/>
        <v>12g</v>
      </c>
      <c r="G54" s="6" t="str">
        <f t="shared" si="0"/>
        <v>20%</v>
      </c>
    </row>
    <row r="55" spans="1:7">
      <c r="A55" s="1" t="s">
        <v>108</v>
      </c>
      <c r="B55" s="4" t="s">
        <v>109</v>
      </c>
      <c r="C55" s="6" t="s">
        <v>88</v>
      </c>
      <c r="D55" s="4" t="str">
        <f t="shared" si="1"/>
        <v>34.6g</v>
      </c>
      <c r="E55" s="6" t="str">
        <f t="shared" si="0"/>
        <v>—</v>
      </c>
      <c r="F55" s="4" t="str">
        <f t="shared" si="1"/>
        <v>72g</v>
      </c>
      <c r="G55" s="6" t="str">
        <f t="shared" si="0"/>
        <v>—</v>
      </c>
    </row>
    <row r="56" spans="1:7">
      <c r="A56" s="1" t="s">
        <v>110</v>
      </c>
      <c r="B56" s="4" t="s">
        <v>111</v>
      </c>
      <c r="C56" s="6" t="s">
        <v>112</v>
      </c>
      <c r="D56" s="4" t="str">
        <f t="shared" si="1"/>
        <v>0g</v>
      </c>
      <c r="E56" s="6" t="str">
        <f t="shared" si="0"/>
        <v>0%</v>
      </c>
      <c r="F56" s="4" t="str">
        <f t="shared" si="1"/>
        <v>0g</v>
      </c>
      <c r="G56" s="6" t="str">
        <f t="shared" si="0"/>
        <v>0%</v>
      </c>
    </row>
    <row r="57" spans="1:7">
      <c r="A57" s="1" t="s">
        <v>113</v>
      </c>
      <c r="B57" s="4" t="s">
        <v>114</v>
      </c>
      <c r="C57" s="6" t="s">
        <v>88</v>
      </c>
      <c r="D57" s="4" t="str">
        <f t="shared" si="1"/>
        <v>65.3g</v>
      </c>
      <c r="E57" s="6" t="str">
        <f t="shared" si="0"/>
        <v>—</v>
      </c>
      <c r="F57" s="4" t="str">
        <f t="shared" si="1"/>
        <v>136g</v>
      </c>
      <c r="G57" s="6" t="str">
        <f t="shared" si="0"/>
        <v>—</v>
      </c>
    </row>
    <row r="58" spans="1:7">
      <c r="A58" s="1" t="s">
        <v>115</v>
      </c>
      <c r="B58" s="4" t="s">
        <v>116</v>
      </c>
      <c r="C58" s="6" t="s">
        <v>117</v>
      </c>
      <c r="D58" s="4" t="str">
        <f t="shared" si="1"/>
        <v>170.9mcg</v>
      </c>
      <c r="E58" s="6" t="str">
        <f t="shared" si="0"/>
        <v>23%</v>
      </c>
      <c r="F58" s="4" t="str">
        <f t="shared" si="1"/>
        <v>356mcg</v>
      </c>
      <c r="G58" s="6" t="str">
        <f t="shared" si="0"/>
        <v>48%</v>
      </c>
    </row>
    <row r="59" spans="1:7">
      <c r="A59" s="1" t="s">
        <v>118</v>
      </c>
      <c r="B59" s="4" t="s">
        <v>119</v>
      </c>
      <c r="C59" s="6" t="s">
        <v>120</v>
      </c>
      <c r="D59" s="4" t="str">
        <f t="shared" si="1"/>
        <v>395.5mg</v>
      </c>
      <c r="E59" s="6" t="str">
        <f t="shared" si="0"/>
        <v>92.2%</v>
      </c>
      <c r="F59" s="4" t="str">
        <f t="shared" si="1"/>
        <v>824mg</v>
      </c>
      <c r="G59" s="6" t="str">
        <f t="shared" si="0"/>
        <v>192%</v>
      </c>
    </row>
    <row r="60" spans="1:7">
      <c r="A60" s="1" t="s">
        <v>121</v>
      </c>
      <c r="B60" s="4" t="s">
        <v>122</v>
      </c>
      <c r="C60" s="6" t="s">
        <v>123</v>
      </c>
      <c r="D60" s="4" t="str">
        <f t="shared" si="1"/>
        <v>9.6mg</v>
      </c>
      <c r="E60" s="6" t="str">
        <f t="shared" si="0"/>
        <v>38.4%</v>
      </c>
      <c r="F60" s="4" t="str">
        <f t="shared" si="1"/>
        <v>20mg</v>
      </c>
      <c r="G60" s="6" t="str">
        <f t="shared" si="0"/>
        <v>80%</v>
      </c>
    </row>
    <row r="61" spans="1:7">
      <c r="A61" s="1" t="s">
        <v>124</v>
      </c>
      <c r="B61" s="4" t="s">
        <v>125</v>
      </c>
      <c r="C61" s="6" t="s">
        <v>126</v>
      </c>
      <c r="D61" s="4" t="str">
        <f t="shared" si="1"/>
        <v>44.2mg</v>
      </c>
      <c r="E61" s="6" t="str">
        <f t="shared" si="0"/>
        <v>21.1%</v>
      </c>
      <c r="F61" s="4" t="str">
        <f t="shared" si="1"/>
        <v>92mg</v>
      </c>
      <c r="G61" s="6" t="str">
        <f t="shared" si="0"/>
        <v>44%</v>
      </c>
    </row>
  </sheetData>
  <mergeCells count="8">
    <mergeCell ref="B46:C46"/>
    <mergeCell ref="D46:E46"/>
    <mergeCell ref="F46:G46"/>
    <mergeCell ref="A45:C45"/>
    <mergeCell ref="A1:C1"/>
    <mergeCell ref="A6:C6"/>
    <mergeCell ref="A20:C20"/>
    <mergeCell ref="A31:C3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&amp;C_x000D_&amp;1#&amp;"Default"&amp;10&amp;KD89B2B Confidential - Company Proprietary</oddFooter>
  </headerFooter>
</worksheet>
</file>

<file path=docMetadata/LabelInfo.xml><?xml version="1.0" encoding="utf-8"?>
<clbl:labelList xmlns:clbl="http://schemas.microsoft.com/office/2020/mipLabelMetadata">
  <clbl:label id="{78fc3b9b-35b0-4549-b8c7-7249a2740519}" enabled="1" method="Privileged" siteId="{2c518df7-6644-41f8-8350-3f75e61362a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Kadal, Vivek</cp:lastModifiedBy>
  <cp:revision>0</cp:revision>
  <dcterms:created xsi:type="dcterms:W3CDTF">2026-09-24T09:34:43Z</dcterms:created>
  <dcterms:modified xsi:type="dcterms:W3CDTF">2026-09-24T11:51:20Z</dcterms:modified>
  <cp:category/>
  <cp:contentStatus/>
</cp:coreProperties>
</file>